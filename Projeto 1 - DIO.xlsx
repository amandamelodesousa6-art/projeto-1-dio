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Downloads\"/>
    </mc:Choice>
  </mc:AlternateContent>
  <xr:revisionPtr revIDLastSave="0" documentId="13_ncr:1_{CD4F0C57-BBA2-42F9-84BE-D2A94A5CFC08}" xr6:coauthVersionLast="36" xr6:coauthVersionMax="36" xr10:uidLastSave="{00000000-0000-0000-0000-000000000000}"/>
  <bookViews>
    <workbookView xWindow="0" yWindow="0" windowWidth="23040" windowHeight="8940" xr2:uid="{9BBA97DD-C43A-4F58-84C8-542CB3D021A6}"/>
  </bookViews>
  <sheets>
    <sheet name="APP" sheetId="1" r:id="rId1"/>
    <sheet name="Base PROCV" sheetId="2" r:id="rId2"/>
  </sheets>
  <definedNames>
    <definedName name="aporte">APP!$D$15</definedName>
    <definedName name="patrimonio">APP!$D$18</definedName>
    <definedName name="qtd_anos">APP!$D$16</definedName>
    <definedName name="rendimento_carteira">APP!$D$11</definedName>
    <definedName name="salario">APP!$D$10</definedName>
    <definedName name="sugestao_investimento">APP!$D$12</definedName>
    <definedName name="taxa_mensal">APP!$D$17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33" i="1"/>
  <c r="C34" i="1"/>
  <c r="C35" i="1"/>
  <c r="C36" i="1"/>
  <c r="C37" i="1"/>
  <c r="C38" i="1"/>
  <c r="G2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0" i="1"/>
  <c r="D18" i="1"/>
  <c r="D19" i="1" s="1"/>
  <c r="C23" i="1"/>
  <c r="D23" i="1" s="1"/>
  <c r="C24" i="1"/>
  <c r="D24" i="1" s="1"/>
  <c r="C25" i="1"/>
  <c r="D25" i="1" s="1"/>
  <c r="C26" i="1"/>
  <c r="D26" i="1" s="1"/>
  <c r="C22" i="1"/>
  <c r="D22" i="1" s="1"/>
  <c r="D36" i="1" l="1"/>
  <c r="D35" i="1"/>
  <c r="D34" i="1"/>
  <c r="D33" i="1"/>
  <c r="D37" i="1"/>
  <c r="D38" i="1"/>
  <c r="D39" i="1" l="1"/>
</calcChain>
</file>

<file path=xl/sharedStrings.xml><?xml version="1.0" encoding="utf-8"?>
<sst xmlns="http://schemas.openxmlformats.org/spreadsheetml/2006/main" count="71" uniqueCount="34">
  <si>
    <t>Quanto investir por mês?</t>
  </si>
  <si>
    <t>Taxa de rendimento mensal?</t>
  </si>
  <si>
    <t>Dividendos mensais?</t>
  </si>
  <si>
    <t>INVESTIMENTO MENSAL</t>
  </si>
  <si>
    <t>Por quantos anos?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</si>
  <si>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</si>
  <si>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</si>
  <si>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</si>
  <si>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</si>
  <si>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</si>
  <si>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</si>
  <si>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</si>
  <si>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</si>
  <si>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</si>
  <si>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</si>
  <si>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</si>
  <si>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VALOR A SER INVESTIDO POR MÊS</t>
  </si>
  <si>
    <t>PERFIL</t>
  </si>
  <si>
    <t>Agressivo</t>
  </si>
  <si>
    <t>TIPO DE FII</t>
  </si>
  <si>
    <t>Percentual Sugerido</t>
  </si>
  <si>
    <t>Valores</t>
  </si>
  <si>
    <t>PAPEL</t>
  </si>
  <si>
    <t>TIJOLOS</t>
  </si>
  <si>
    <t>HÍBRIDOS</t>
  </si>
  <si>
    <t>FOFs</t>
  </si>
  <si>
    <t>DESENVOLVIMENTO</t>
  </si>
  <si>
    <t>HOTELARIAS</t>
  </si>
  <si>
    <t>Moderado</t>
  </si>
  <si>
    <t>Conservador</t>
  </si>
  <si>
    <t>%</t>
  </si>
  <si>
    <t>CHAVE</t>
  </si>
  <si>
    <t>Moderado-TIJOLOS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</si>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</sst>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vertical="center"/>
    </xf>
    <xf numFmtId="9" fontId="0" fillId="0" borderId="0" xfId="0" applyNumberFormat="1"/>
    <xf numFmtId="166" fontId="0" fillId="6" borderId="4" xfId="0" applyNumberForma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66" fontId="0" fillId="6" borderId="7" xfId="0" applyNumberFormat="1" applyFill="1" applyBorder="1" applyAlignment="1">
      <alignment horizontal="center"/>
    </xf>
    <xf numFmtId="166" fontId="0" fillId="6" borderId="9" xfId="0" applyNumberFormat="1" applyFill="1" applyBorder="1" applyAlignment="1">
      <alignment horizontal="center"/>
    </xf>
    <xf numFmtId="166" fontId="0" fillId="6" borderId="11" xfId="0" applyNumberFormat="1" applyFill="1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indent="1"/>
    </xf>
    <xf numFmtId="0" fontId="8" fillId="6" borderId="8" xfId="0" applyFont="1" applyFill="1" applyBorder="1" applyAlignment="1">
      <alignment horizontal="left" indent="1"/>
    </xf>
    <xf numFmtId="0" fontId="8" fillId="6" borderId="10" xfId="0" applyFont="1" applyFill="1" applyBorder="1" applyAlignment="1">
      <alignment horizontal="left" indent="1"/>
    </xf>
    <xf numFmtId="0" fontId="7" fillId="3" borderId="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indent="1"/>
    </xf>
    <xf numFmtId="0" fontId="8" fillId="0" borderId="15" xfId="0" applyFont="1" applyBorder="1" applyAlignment="1">
      <alignment horizontal="left" indent="1"/>
    </xf>
    <xf numFmtId="0" fontId="9" fillId="4" borderId="15" xfId="0" applyFont="1" applyFill="1" applyBorder="1" applyAlignment="1">
      <alignment horizontal="left" indent="1"/>
    </xf>
    <xf numFmtId="0" fontId="8" fillId="0" borderId="16" xfId="0" applyFont="1" applyBorder="1" applyAlignment="1">
      <alignment horizontal="left" indent="1"/>
    </xf>
    <xf numFmtId="166" fontId="3" fillId="0" borderId="17" xfId="0" applyNumberFormat="1" applyFont="1" applyBorder="1" applyAlignment="1">
      <alignment horizontal="center"/>
    </xf>
    <xf numFmtId="0" fontId="8" fillId="0" borderId="18" xfId="0" applyFont="1" applyBorder="1" applyAlignment="1">
      <alignment horizontal="left" indent="1"/>
    </xf>
    <xf numFmtId="0" fontId="3" fillId="0" borderId="19" xfId="0" applyFont="1" applyBorder="1" applyAlignment="1">
      <alignment horizontal="center"/>
    </xf>
    <xf numFmtId="10" fontId="3" fillId="0" borderId="19" xfId="0" applyNumberFormat="1" applyFont="1" applyBorder="1" applyAlignment="1">
      <alignment horizontal="center"/>
    </xf>
    <xf numFmtId="0" fontId="9" fillId="4" borderId="18" xfId="0" applyFont="1" applyFill="1" applyBorder="1" applyAlignment="1">
      <alignment horizontal="left" indent="1"/>
    </xf>
    <xf numFmtId="166" fontId="3" fillId="4" borderId="19" xfId="0" applyNumberFormat="1" applyFont="1" applyFill="1" applyBorder="1" applyAlignment="1">
      <alignment horizontal="center"/>
    </xf>
    <xf numFmtId="0" fontId="9" fillId="4" borderId="20" xfId="0" applyFont="1" applyFill="1" applyBorder="1" applyAlignment="1">
      <alignment horizontal="left" indent="1"/>
    </xf>
    <xf numFmtId="0" fontId="9" fillId="4" borderId="21" xfId="0" applyFont="1" applyFill="1" applyBorder="1" applyAlignment="1">
      <alignment horizontal="left" indent="1"/>
    </xf>
    <xf numFmtId="166" fontId="3" fillId="4" borderId="22" xfId="0" applyNumberFormat="1" applyFont="1" applyFill="1" applyBorder="1" applyAlignment="1">
      <alignment horizontal="center"/>
    </xf>
    <xf numFmtId="0" fontId="2" fillId="2" borderId="0" xfId="2"/>
    <xf numFmtId="0" fontId="0" fillId="6" borderId="0" xfId="0" applyFill="1"/>
    <xf numFmtId="166" fontId="0" fillId="6" borderId="0" xfId="0" applyNumberFormat="1" applyFill="1"/>
    <xf numFmtId="0" fontId="2" fillId="2" borderId="0" xfId="2" applyAlignment="1">
      <alignment horizontal="center"/>
    </xf>
    <xf numFmtId="0" fontId="3" fillId="6" borderId="0" xfId="0" applyFont="1" applyFill="1"/>
    <xf numFmtId="166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6" fontId="3" fillId="7" borderId="0" xfId="0" applyNumberFormat="1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2" fillId="2" borderId="0" xfId="2" applyNumberFormat="1"/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Border="1" applyAlignment="1">
      <alignment horizontal="center"/>
    </xf>
    <xf numFmtId="0" fontId="8" fillId="6" borderId="14" xfId="0" applyFont="1" applyFill="1" applyBorder="1" applyAlignment="1">
      <alignment horizontal="left" indent="1"/>
    </xf>
    <xf numFmtId="0" fontId="8" fillId="6" borderId="15" xfId="0" applyFont="1" applyFill="1" applyBorder="1" applyAlignment="1">
      <alignment horizontal="left" indent="1"/>
    </xf>
    <xf numFmtId="0" fontId="8" fillId="6" borderId="16" xfId="0" applyFont="1" applyFill="1" applyBorder="1" applyAlignment="1">
      <alignment horizontal="left" indent="1"/>
    </xf>
    <xf numFmtId="166" fontId="0" fillId="0" borderId="17" xfId="1" applyNumberFormat="1" applyFont="1" applyFill="1" applyBorder="1" applyAlignment="1">
      <alignment horizontal="center"/>
    </xf>
    <xf numFmtId="0" fontId="8" fillId="6" borderId="18" xfId="0" applyFont="1" applyFill="1" applyBorder="1" applyAlignment="1">
      <alignment horizontal="left" indent="1"/>
    </xf>
    <xf numFmtId="10" fontId="0" fillId="0" borderId="19" xfId="0" applyNumberFormat="1" applyFill="1" applyBorder="1" applyAlignment="1">
      <alignment horizontal="center"/>
    </xf>
    <xf numFmtId="0" fontId="8" fillId="6" borderId="20" xfId="0" applyFont="1" applyFill="1" applyBorder="1" applyAlignment="1">
      <alignment horizontal="left" indent="1"/>
    </xf>
    <xf numFmtId="0" fontId="8" fillId="6" borderId="21" xfId="0" applyFont="1" applyFill="1" applyBorder="1" applyAlignment="1">
      <alignment horizontal="left" indent="1"/>
    </xf>
    <xf numFmtId="166" fontId="0" fillId="6" borderId="22" xfId="1" applyNumberFormat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FC7-B3A1-8F7BA3E4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129540</xdr:colOff>
      <xdr:row>0</xdr:row>
      <xdr:rowOff>0</xdr:rowOff>
    </xdr:from>
    <xdr:to>
      <xdr:col>4</xdr:col>
      <xdr:colOff>58350</xdr:colOff>
      <xdr:row>6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917275-DFCE-49C1-A6A9-59195087EC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7" t="4724" r="1542" b="6307"/>
        <a:stretch/>
      </xdr:blipFill>
      <xdr:spPr>
        <a:xfrm>
          <a:off x="137160" y="0"/>
          <a:ext cx="6626790" cy="122682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797242</xdr:colOff>
      <xdr:row>40</xdr:row>
      <xdr:rowOff>96202</xdr:rowOff>
    </xdr:from>
    <xdr:to>
      <xdr:col>3</xdr:col>
      <xdr:colOff>124777</xdr:colOff>
      <xdr:row>55</xdr:row>
      <xdr:rowOff>132397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BC6779-A5FC-416E-B1C3-2AD582598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FA53-7E60-4D42-A2CA-AC62628C1759}">
  <dimension ref="A8:G39"/>
  <sheetViews>
    <sheetView showGridLines="0" tabSelected="1" zoomScaleNormal="100" workbookViewId="0">
      <selection activeCell="G25" sqref="G25"/>
    </sheetView>
  </sheetViews>
  <sheetFormatPr defaultColWidth="0" defaultRowHeight="14.4" x14ac:dyDescent="0.3"/>
  <cols>
    <col min="1" max="1" width="3" customWidth="1"/>
    <col min="2" max="2" width="43.88671875" customWidth="1"/>
    <col min="3" max="3" width="32.44140625" customWidth="1"/>
    <col min="4" max="4" width="18.44140625" customWidth="1"/>
    <col min="5" max="8" width="3.77734375" customWidth="1"/>
    <col min="9" max="16384" width="8.88671875" hidden="1"/>
  </cols>
  <sheetData>
    <row r="8" spans="2:4" ht="15" thickBot="1" x14ac:dyDescent="0.35"/>
    <row r="9" spans="2:4" ht="25.2" thickBot="1" x14ac:dyDescent="0.35">
      <c r="B9" s="19" t="s">
        <v>13</v>
      </c>
      <c r="C9" s="20"/>
      <c r="D9" s="21"/>
    </row>
    <row r="10" spans="2:4" ht="19.2" x14ac:dyDescent="0.45">
      <c r="B10" s="55" t="s">
        <v>15</v>
      </c>
      <c r="C10" s="53"/>
      <c r="D10" s="56">
        <v>2000</v>
      </c>
    </row>
    <row r="11" spans="2:4" ht="19.2" x14ac:dyDescent="0.45">
      <c r="B11" s="57" t="s">
        <v>14</v>
      </c>
      <c r="C11" s="54"/>
      <c r="D11" s="58">
        <v>6.0000000000000001E-3</v>
      </c>
    </row>
    <row r="12" spans="2:4" ht="19.8" thickBot="1" x14ac:dyDescent="0.5">
      <c r="B12" s="59" t="s">
        <v>33</v>
      </c>
      <c r="C12" s="60"/>
      <c r="D12" s="61">
        <f>D10*30%</f>
        <v>600</v>
      </c>
    </row>
    <row r="13" spans="2:4" ht="15" thickBot="1" x14ac:dyDescent="0.35"/>
    <row r="14" spans="2:4" ht="25.2" thickBot="1" x14ac:dyDescent="0.35">
      <c r="B14" s="17" t="s">
        <v>3</v>
      </c>
      <c r="C14" s="18"/>
      <c r="D14" s="3"/>
    </row>
    <row r="15" spans="2:4" ht="19.2" x14ac:dyDescent="0.45">
      <c r="B15" s="25" t="s">
        <v>0</v>
      </c>
      <c r="C15" s="22"/>
      <c r="D15" s="26">
        <v>200</v>
      </c>
    </row>
    <row r="16" spans="2:4" ht="19.2" x14ac:dyDescent="0.45">
      <c r="B16" s="27" t="s">
        <v>4</v>
      </c>
      <c r="C16" s="23"/>
      <c r="D16" s="28">
        <v>5</v>
      </c>
    </row>
    <row r="17" spans="1:4" ht="19.2" x14ac:dyDescent="0.45">
      <c r="B17" s="27" t="s">
        <v>1</v>
      </c>
      <c r="C17" s="23"/>
      <c r="D17" s="29">
        <v>1.0789999999999999E-2</v>
      </c>
    </row>
    <row r="18" spans="1:4" ht="19.2" x14ac:dyDescent="0.45">
      <c r="B18" s="30" t="s">
        <v>5</v>
      </c>
      <c r="C18" s="24"/>
      <c r="D18" s="31">
        <f>FV(taxa_mensal,qtd_anos*12,aporte*-1)</f>
        <v>16755.382799697527</v>
      </c>
    </row>
    <row r="19" spans="1:4" ht="19.8" thickBot="1" x14ac:dyDescent="0.5">
      <c r="B19" s="32" t="s">
        <v>2</v>
      </c>
      <c r="C19" s="33"/>
      <c r="D19" s="34">
        <f>patrimonio*rendimento_carteira</f>
        <v>100.53229679818516</v>
      </c>
    </row>
    <row r="20" spans="1:4" ht="15" thickBot="1" x14ac:dyDescent="0.35"/>
    <row r="21" spans="1:4" ht="19.8" thickBot="1" x14ac:dyDescent="0.35">
      <c r="B21" s="11" t="s">
        <v>11</v>
      </c>
      <c r="C21" s="12"/>
      <c r="D21" s="13" t="s">
        <v>12</v>
      </c>
    </row>
    <row r="22" spans="1:4" ht="19.2" x14ac:dyDescent="0.45">
      <c r="A22" s="1">
        <v>2</v>
      </c>
      <c r="B22" s="14" t="s">
        <v>6</v>
      </c>
      <c r="C22" s="5">
        <f>FV($D$17,$A22*12,$D$15*-1)</f>
        <v>5445.5254595290435</v>
      </c>
      <c r="D22" s="7">
        <f>C22*rendimento_carteira</f>
        <v>32.673152757174265</v>
      </c>
    </row>
    <row r="23" spans="1:4" ht="19.2" x14ac:dyDescent="0.45">
      <c r="A23" s="1">
        <v>5</v>
      </c>
      <c r="B23" s="15" t="s">
        <v>7</v>
      </c>
      <c r="C23" s="6">
        <f>FV($D$17,$A23*12,$D$15*-1)</f>
        <v>16755.382799697527</v>
      </c>
      <c r="D23" s="8">
        <f>C23*rendimento_carteira</f>
        <v>100.53229679818516</v>
      </c>
    </row>
    <row r="24" spans="1:4" ht="19.2" x14ac:dyDescent="0.45">
      <c r="A24" s="1">
        <v>10</v>
      </c>
      <c r="B24" s="15" t="s">
        <v>8</v>
      </c>
      <c r="C24" s="6">
        <f>FV($D$17,$A24*12,$D$15*-1)</f>
        <v>48656.842506034438</v>
      </c>
      <c r="D24" s="8">
        <f>C24*rendimento_carteira</f>
        <v>291.94105503620665</v>
      </c>
    </row>
    <row r="25" spans="1:4" ht="19.2" x14ac:dyDescent="0.45">
      <c r="A25" s="1">
        <v>20</v>
      </c>
      <c r="B25" s="15" t="s">
        <v>9</v>
      </c>
      <c r="C25" s="6">
        <f>FV($D$17,$A25*12,$D$15*-1)</f>
        <v>225039.68001941612</v>
      </c>
      <c r="D25" s="8">
        <f>C25*rendimento_carteira</f>
        <v>1350.2380801164968</v>
      </c>
    </row>
    <row r="26" spans="1:4" ht="19.8" thickBot="1" x14ac:dyDescent="0.5">
      <c r="A26" s="1">
        <v>30</v>
      </c>
      <c r="B26" s="16" t="s">
        <v>10</v>
      </c>
      <c r="C26" s="9">
        <f>FV($D$17,$A26*12,$D$15*-1)</f>
        <v>864433.93100094295</v>
      </c>
      <c r="D26" s="10">
        <f>C26*rendimento_carteira</f>
        <v>5186.6035860056581</v>
      </c>
    </row>
    <row r="29" spans="1:4" x14ac:dyDescent="0.3">
      <c r="B29" s="35" t="s">
        <v>17</v>
      </c>
      <c r="C29" s="38" t="s">
        <v>28</v>
      </c>
      <c r="D29" s="35"/>
    </row>
    <row r="30" spans="1:4" x14ac:dyDescent="0.3">
      <c r="B30" s="39" t="s">
        <v>16</v>
      </c>
      <c r="C30" s="40">
        <f>aporte</f>
        <v>200</v>
      </c>
      <c r="D30" s="36"/>
    </row>
    <row r="32" spans="1:4" x14ac:dyDescent="0.3">
      <c r="B32" s="41" t="s">
        <v>19</v>
      </c>
      <c r="C32" s="41" t="s">
        <v>20</v>
      </c>
      <c r="D32" s="41" t="s">
        <v>21</v>
      </c>
    </row>
    <row r="33" spans="2:4" x14ac:dyDescent="0.3">
      <c r="B33" s="2" t="s">
        <v>22</v>
      </c>
      <c r="C33" s="4">
        <f>VLOOKUP($C$29&amp;"-"&amp;B33,'Base PROCV'!$A:$D,4,FALSE)</f>
        <v>0.32</v>
      </c>
      <c r="D33" s="37">
        <f>C33*$C$30</f>
        <v>64</v>
      </c>
    </row>
    <row r="34" spans="2:4" x14ac:dyDescent="0.3">
      <c r="B34" s="2" t="s">
        <v>23</v>
      </c>
      <c r="C34" s="4">
        <f>VLOOKUP($C$29&amp;"-"&amp;B34,'Base PROCV'!$A:$D,4,FALSE)</f>
        <v>0.35</v>
      </c>
      <c r="D34" s="37">
        <f t="shared" ref="D34:D38" si="0">C34*$C$30</f>
        <v>70</v>
      </c>
    </row>
    <row r="35" spans="2:4" x14ac:dyDescent="0.3">
      <c r="B35" s="2" t="s">
        <v>24</v>
      </c>
      <c r="C35" s="4">
        <f>VLOOKUP($C$29&amp;"-"&amp;B35,'Base PROCV'!$A:$D,4,FALSE)</f>
        <v>0.08</v>
      </c>
      <c r="D35" s="37">
        <f t="shared" si="0"/>
        <v>16</v>
      </c>
    </row>
    <row r="36" spans="2:4" x14ac:dyDescent="0.3">
      <c r="B36" s="2" t="s">
        <v>25</v>
      </c>
      <c r="C36" s="4">
        <f>VLOOKUP($C$29&amp;"-"&amp;B36,'Base PROCV'!$A:$D,4,FALSE)</f>
        <v>0.05</v>
      </c>
      <c r="D36" s="37">
        <f t="shared" si="0"/>
        <v>10</v>
      </c>
    </row>
    <row r="37" spans="2:4" x14ac:dyDescent="0.3">
      <c r="B37" s="2" t="s">
        <v>26</v>
      </c>
      <c r="C37" s="4">
        <f>VLOOKUP($C$29&amp;"-"&amp;B37,'Base PROCV'!$A:$D,4,FALSE)</f>
        <v>0.1</v>
      </c>
      <c r="D37" s="37">
        <f t="shared" si="0"/>
        <v>20</v>
      </c>
    </row>
    <row r="38" spans="2:4" x14ac:dyDescent="0.3">
      <c r="B38" s="2" t="s">
        <v>27</v>
      </c>
      <c r="C38" s="4">
        <f>VLOOKUP($C$29&amp;"-"&amp;B38,'Base PROCV'!$A:$D,4,FALSE)</f>
        <v>0.1</v>
      </c>
      <c r="D38" s="37">
        <f t="shared" si="0"/>
        <v>20</v>
      </c>
    </row>
    <row r="39" spans="2:4" x14ac:dyDescent="0.3">
      <c r="B39" s="42"/>
      <c r="C39" s="42"/>
      <c r="D39" s="43">
        <f>SUM(D33:D38)</f>
        <v>200</v>
      </c>
    </row>
  </sheetData>
  <mergeCells count="11">
    <mergeCell ref="B10:C10"/>
    <mergeCell ref="B11:C11"/>
    <mergeCell ref="B12:C12"/>
    <mergeCell ref="B9:D9"/>
    <mergeCell ref="B14:C14"/>
    <mergeCell ref="B21:C21"/>
    <mergeCell ref="B15:C15"/>
    <mergeCell ref="B16:C16"/>
    <mergeCell ref="B17:C17"/>
    <mergeCell ref="B18:C18"/>
    <mergeCell ref="B19:C19"/>
  </mergeCells>
  <dataValidations disablePrompts="1" count="1">
    <dataValidation type="list" allowBlank="1" showInputMessage="1" showErrorMessage="1" sqref="C29" xr:uid="{F9AC7FB7-3236-4CA0-964E-A665CC95858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E45B-794C-4CE7-9E36-4E0445042284}">
  <dimension ref="A1:G20"/>
  <sheetViews>
    <sheetView showGridLines="0" workbookViewId="0">
      <selection activeCell="G30" sqref="G30"/>
    </sheetView>
  </sheetViews>
  <sheetFormatPr defaultColWidth="9" defaultRowHeight="14.4" x14ac:dyDescent="0.3"/>
  <cols>
    <col min="1" max="1" width="30.44140625" bestFit="1" customWidth="1"/>
    <col min="2" max="2" width="11.77734375" bestFit="1" customWidth="1"/>
    <col min="3" max="3" width="18.44140625" bestFit="1" customWidth="1"/>
    <col min="4" max="4" width="4.44140625" bestFit="1" customWidth="1"/>
    <col min="6" max="6" width="17.6640625" bestFit="1" customWidth="1"/>
    <col min="7" max="7" width="6.88671875" bestFit="1" customWidth="1"/>
  </cols>
  <sheetData>
    <row r="1" spans="1:7" x14ac:dyDescent="0.3">
      <c r="G1" t="s">
        <v>30</v>
      </c>
    </row>
    <row r="2" spans="1:7" ht="15.6" x14ac:dyDescent="0.3">
      <c r="A2" s="63" t="s">
        <v>31</v>
      </c>
      <c r="B2" s="63" t="s">
        <v>17</v>
      </c>
      <c r="C2" s="63" t="s">
        <v>19</v>
      </c>
      <c r="D2" s="62" t="s">
        <v>30</v>
      </c>
      <c r="F2" s="35" t="s">
        <v>32</v>
      </c>
      <c r="G2" s="49">
        <f>VLOOKUP(F2,$A:$D,4,FALSE)</f>
        <v>0.35</v>
      </c>
    </row>
    <row r="3" spans="1:7" x14ac:dyDescent="0.3">
      <c r="A3" t="str">
        <f>B3&amp;"-"&amp;C3</f>
        <v>Conservador-PAPEL</v>
      </c>
      <c r="B3" t="s">
        <v>29</v>
      </c>
      <c r="C3" s="2" t="s">
        <v>22</v>
      </c>
      <c r="D3" s="46">
        <v>0.3</v>
      </c>
    </row>
    <row r="4" spans="1:7" x14ac:dyDescent="0.3">
      <c r="A4" t="str">
        <f t="shared" ref="A4:A20" si="0">B4&amp;"-"&amp;C4</f>
        <v>Conservador-TIJOLOS</v>
      </c>
      <c r="B4" t="s">
        <v>29</v>
      </c>
      <c r="C4" s="2" t="s">
        <v>23</v>
      </c>
      <c r="D4" s="46">
        <v>0.5</v>
      </c>
    </row>
    <row r="5" spans="1:7" x14ac:dyDescent="0.3">
      <c r="A5" t="str">
        <f t="shared" si="0"/>
        <v>Conservador-HÍBRIDOS</v>
      </c>
      <c r="B5" t="s">
        <v>29</v>
      </c>
      <c r="C5" s="2" t="s">
        <v>24</v>
      </c>
      <c r="D5" s="46">
        <v>0.1</v>
      </c>
    </row>
    <row r="6" spans="1:7" x14ac:dyDescent="0.3">
      <c r="A6" t="str">
        <f t="shared" si="0"/>
        <v>Conservador-FOFs</v>
      </c>
      <c r="B6" t="s">
        <v>29</v>
      </c>
      <c r="C6" s="2" t="s">
        <v>25</v>
      </c>
      <c r="D6" s="46">
        <v>0.1</v>
      </c>
    </row>
    <row r="7" spans="1:7" x14ac:dyDescent="0.3">
      <c r="A7" t="str">
        <f t="shared" si="0"/>
        <v>Conservador-DESENVOLVIMENTO</v>
      </c>
      <c r="B7" t="s">
        <v>29</v>
      </c>
      <c r="C7" s="2" t="s">
        <v>26</v>
      </c>
      <c r="D7" s="46">
        <v>0</v>
      </c>
    </row>
    <row r="8" spans="1:7" ht="15" thickBot="1" x14ac:dyDescent="0.35">
      <c r="A8" s="44" t="str">
        <f t="shared" si="0"/>
        <v>Conservador-HOTELARIAS</v>
      </c>
      <c r="B8" s="44" t="s">
        <v>29</v>
      </c>
      <c r="C8" s="45" t="s">
        <v>27</v>
      </c>
      <c r="D8" s="47">
        <v>0</v>
      </c>
    </row>
    <row r="9" spans="1:7" x14ac:dyDescent="0.3">
      <c r="A9" t="str">
        <f t="shared" si="0"/>
        <v>Moderado-PAPEL</v>
      </c>
      <c r="B9" t="s">
        <v>28</v>
      </c>
      <c r="C9" s="2" t="s">
        <v>22</v>
      </c>
      <c r="D9" s="48">
        <v>0.32</v>
      </c>
    </row>
    <row r="10" spans="1:7" x14ac:dyDescent="0.3">
      <c r="A10" s="50" t="str">
        <f t="shared" si="0"/>
        <v>Moderado-TIJOLOS</v>
      </c>
      <c r="B10" s="50" t="s">
        <v>28</v>
      </c>
      <c r="C10" s="51" t="s">
        <v>23</v>
      </c>
      <c r="D10" s="52">
        <v>0.35</v>
      </c>
    </row>
    <row r="11" spans="1:7" x14ac:dyDescent="0.3">
      <c r="A11" t="str">
        <f t="shared" si="0"/>
        <v>Moderado-HÍBRIDOS</v>
      </c>
      <c r="B11" t="s">
        <v>28</v>
      </c>
      <c r="C11" s="2" t="s">
        <v>24</v>
      </c>
      <c r="D11" s="46">
        <v>0.08</v>
      </c>
    </row>
    <row r="12" spans="1:7" x14ac:dyDescent="0.3">
      <c r="A12" t="str">
        <f t="shared" si="0"/>
        <v>Moderado-FOFs</v>
      </c>
      <c r="B12" t="s">
        <v>28</v>
      </c>
      <c r="C12" s="2" t="s">
        <v>25</v>
      </c>
      <c r="D12" s="46">
        <v>0.05</v>
      </c>
    </row>
    <row r="13" spans="1:7" x14ac:dyDescent="0.3">
      <c r="A13" t="str">
        <f t="shared" si="0"/>
        <v>Moderado-DESENVOLVIMENTO</v>
      </c>
      <c r="B13" t="s">
        <v>28</v>
      </c>
      <c r="C13" s="2" t="s">
        <v>26</v>
      </c>
      <c r="D13" s="46">
        <v>0.1</v>
      </c>
    </row>
    <row r="14" spans="1:7" ht="15" thickBot="1" x14ac:dyDescent="0.35">
      <c r="A14" s="44" t="str">
        <f t="shared" si="0"/>
        <v>Moderado-HOTELARIAS</v>
      </c>
      <c r="B14" s="44" t="s">
        <v>28</v>
      </c>
      <c r="C14" s="45" t="s">
        <v>27</v>
      </c>
      <c r="D14" s="47">
        <v>0.1</v>
      </c>
    </row>
    <row r="15" spans="1:7" x14ac:dyDescent="0.3">
      <c r="A15" t="str">
        <f t="shared" si="0"/>
        <v>Agressivo-PAPEL</v>
      </c>
      <c r="B15" t="s">
        <v>18</v>
      </c>
      <c r="C15" s="2" t="s">
        <v>22</v>
      </c>
      <c r="D15" s="46">
        <v>0.5</v>
      </c>
    </row>
    <row r="16" spans="1:7" x14ac:dyDescent="0.3">
      <c r="A16" t="str">
        <f t="shared" si="0"/>
        <v>Agressivo-TIJOLOS</v>
      </c>
      <c r="B16" t="s">
        <v>18</v>
      </c>
      <c r="C16" s="2" t="s">
        <v>23</v>
      </c>
      <c r="D16" s="46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24</v>
      </c>
      <c r="D17" s="46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25</v>
      </c>
      <c r="D18" s="46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26</v>
      </c>
      <c r="D19" s="46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27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Base PROCV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Melo de Sousa</dc:creator>
  <cp:lastModifiedBy>Amanda Melo de Sousa</cp:lastModifiedBy>
  <dcterms:created xsi:type="dcterms:W3CDTF">2026-09-24T22:36:09Z</dcterms:created>
  <dcterms:modified xsi:type="dcterms:W3CDTF">2026-09-25T00:42:51Z</dcterms:modified>
</cp:coreProperties>
</file>