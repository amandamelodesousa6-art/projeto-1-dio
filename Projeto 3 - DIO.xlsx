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and\Downloads\"/>
    </mc:Choice>
  </mc:AlternateContent>
  <xr:revisionPtr revIDLastSave="0" documentId="13_ncr:1_{602A26F4-44D7-45D8-AF41-CF31AA6BBF85}" xr6:coauthVersionLast="36" xr6:coauthVersionMax="47" xr10:uidLastSave="{00000000-0000-0000-0000-000000000000}"/>
  <bookViews>
    <workbookView xWindow="0" yWindow="0" windowWidth="23040" windowHeight="8940" tabRatio="43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79021"/>
  <pivotCaches>
    <pivotCache cacheId="3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3" l="1"/>
  <c r="C18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<sst xmlns="http://schemas.openxmlformats.org/spreadsheetml/2006/main" count="2017" uniqueCount="319">
  <si>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</si>
  <si>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</si>
  <si>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</si>
  <si>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</si>
  <si>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</si>
  <si>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</si>
  <si>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</si>
  <si>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</si>
  <si>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</si>
  <si>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</si>
  <si>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</si>
  <si>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</si>
  <si>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</si>
  <si>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</si>
  <si>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</si>
  <si>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</si>
  <si>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</si>
  <si>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</si>
  <si>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</si>
  <si>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</si>
  <si>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</si>
  <si>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</si>
  <si>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</si>
  <si>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</si>
  <si>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</si>
  <si>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</si>
  <si>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</si>
  <si>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</si>
  <si>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</si>
  <si>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</si>
  <si>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</si>
  <si>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</si>
  <si>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</si>
  <si>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</si>
  <si>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</si>
  <si>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</si>
  <si>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</si>
  <si>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</si>
  <si>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</si>
  <si>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</si>
  <si>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</si>
  <si>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</si>
  <si>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</si>
  <si>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</si>
  <si>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</si>
  <si>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</si>
  <si>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</si>
  <si>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</si>
  <si>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</si>
  <si>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</si>
  <si>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</si>
  <si>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</si>
  <si>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</si>
  <si>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</si>
  <si>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</si>
  <si>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</si>
  <si>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</si>
  <si>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</si>
  <si>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</si>
  <si>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</si>
  <si>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</si>
  <si>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</si>
  <si>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</si>
  <si>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</si>
  <si>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</si>
  <si>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</si>
  <si>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</si>
  <si>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</si>
  <si>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</si>
  <si>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</si>
  <si>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</si>
  <si>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</si>
  <si>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</si>
  <si>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</si>
  <si>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</si>
  <si>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</si>
  <si>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</si>
  <si>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</si>
  <si>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</si>
  <si>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</si>
  <si>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</si>
  <si>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</si>
  <si>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</si>
  <si>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</si>
  <si>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</si>
  <si>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</si>
  <si>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</si>
  <si>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</si>
  <si>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</si>
  <si>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</si>
  <si>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</si>
  <si>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</si>
  <si>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</si>
  <si>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</si>
  <si>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</si>
  <si>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</si>
  <si>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</si>
  <si>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</si>
  <si>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</si>
  <si>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</si>
  <si>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</si>
  <si>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</si>
  <si>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</si>
  <si>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</si>
  <si>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</si>
  <si>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</si>
  <si>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</si>
  <si>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</si>
  <si>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</si>
  <si>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</si>
  <si>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</si>
  <si>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</si>
  <si>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</si>
  <si>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</si>
  <si>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</si>
  <si>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</si>
  <si>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</si>
  <si>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</si>
  <si>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</si>
  <si>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</si>
  <si>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</si>
  <si>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</si>
  <si>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</si>
  <si>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</si>
  <si>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</si>
  <si>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</si>
  <si>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</si>
  <si>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</si>
  <si>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</si>
  <si>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</si>
  <si>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</si>
  <si>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</si>
  <si>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</si>
  <si>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</si>
  <si>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</si>
  <si>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</si>
  <si>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</si>
  <si>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</si>
  <si>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</si>
  <si>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</si>
  <si>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</si>
  <si>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</si>
  <si>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</si>
  <si>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</si>
  <si>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</si>
  <si>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</si>
  <si>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</si>
  <si>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</si>
  <si>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</si>
  <si>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</si>
  <si>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</si>
  <si>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</si>
  <si>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</si>
  <si>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</si>
  <si>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</si>
  <si>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</si>
  <si>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</si>
  <si>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</si>
  <si>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</si>
  <si>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</si>
  <si>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</si>
  <si>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</si>
  <si>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</si>
  <si>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</si>
  <si>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</si>
  <si>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</si>
  <si>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</si>
  <si>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</si>
  <si>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</si>
  <si>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</si>
  <si>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</si>
  <si>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</si>
  <si>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</si>
  <si>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</si>
  <si>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</si>
  <si>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</si>
  <si>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</si>
  <si>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</si>
  <si>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</si>
  <si>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</si>
  <si>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</si>
  <si>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</si>
  <si>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</si>
  <si>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</si>
  <si>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</si>
  <si>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</si>
  <si>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</si>
  <si>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</si>
  <si>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</si>
  <si>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</si>
  <si>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</si>
  <si>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</si>
  <si>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</si>
  <si>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</si>
  <si>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</si>
  <si>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</si>
  <si>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</si>
  <si>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</si>
  <si>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</si>
  <si>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</si>
  <si>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</si>
  <si>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</si>
  <si>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</si>
  <si>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</si>
  <si>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</si>
  <si>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</si>
  <si>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</si>
  <si>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</si>
  <si>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</si>
  <si>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</si>
  <si>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</si>
  <si>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</si>
  <si>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</si>
  <si>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</si>
  <si>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</si>
  <si>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</si>
  <si>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</si>
  <si>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</si>
  <si>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</si>
  <si>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</si>
  <si>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</si>
  <si>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</si>
  <si>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</si>
  <si>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</si>
  <si>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</si>
  <si>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</si>
  <si>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</si>
  <si>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</si>
  <si>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</si>
  <si>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</si>
  <si>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</si>
  <si>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</si>
  <si>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</si>
  <si>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</si>
  <si>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</si>
  <si>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</si>
  <si>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</si>
  <si>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</si>
  <si>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</si>
  <si>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</si>
  <si>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</si>
  <si>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</si>
  <si>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</si>
  <si>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</si>
  <si>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</si>
  <si>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</si>
  <si>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</si>
  <si>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</si>
  <si>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</si>
  <si>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</si>
  <si>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</si>
  <si>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</si>
  <si>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</si>
  <si>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</si>
  <si>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</si>
  <si>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</si>
  <si>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</si>
  <si>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</si>
  <si>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</si>
  <si>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</si>
  <si>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</si>
  <si>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</si>
  <si>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</si>
  <si>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</si>
  <si>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</si>
  <si>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</si>
  <si>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</si>
  <si>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</si>
  <si>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</si>
  <si>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</si>
  <si>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</si>
  <si>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</si>
  <si>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</si>
  <si>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</si>
  <si>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</si>
  <si>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</si>
  <si>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</si>
  <si>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</si>
  <si>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</si>
  <si>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</si>
  <si>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</si>
  <si>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</si>
  <si>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</si>
  <si>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</si>
  <si>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</si>
  <si>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</si>
  <si>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</si>
  <si>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</si>
  <si>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</si>
  <si>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</si>
  <si>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</si>
  <si>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</si>
  <si>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</si>
  <si>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</si>
  <si>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</si>
  <si>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</si>
  <si>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</si>
  <si>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</si>
  <si>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</si>
  <si>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</si>
  <si>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</si>
  <si>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</si>
  <si>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</si>
  <si>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</si>
  <si>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</si>
  <si>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</si>
  <si>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</si>
  <si>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</si>
  <si>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</si>
  <si>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</si>
  <si>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</si>
  <si>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</si>
  <si>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</si>
  <si>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</si>
  <si>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</si>
  <si>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</si>
  <si>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</t>
  </si>
  <si>
    <t>Soma de Minecraft Season Pass Price</t>
  </si>
  <si>
    <t xml:space="preserve">     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</si>
</sst>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4" fillId="0" borderId="2" xfId="1" applyFont="1" applyBorder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2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00B451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FB7887CF-6563-4BAC-B663-8F3656131091}">
      <tableStyleElement type="wholeTable" dxfId="11"/>
      <tableStyleElement type="headerRow" dxfId="10"/>
    </tableStyle>
  </tableStyles>
  <colors>
    <mruColors>
      <color rgb="FF22C55E"/>
      <color rgb="FF00B451"/>
      <color rgb="FFF7F8FC"/>
      <color rgb="FF5BF6A8"/>
      <color rgb="FFE8E6E9"/>
      <color rgb="FF000000"/>
      <color rgb="FFE0E0E0"/>
      <color rgb="FFEDEDED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2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C̳álculos!$C$6:$C$8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2-40DD-A2DC-2F53A6B46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4367000"/>
        <c:axId val="584367656"/>
      </c:barChart>
      <c:catAx>
        <c:axId val="584367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4367656"/>
        <c:crosses val="autoZero"/>
        <c:auto val="1"/>
        <c:lblAlgn val="ctr"/>
        <c:lblOffset val="100"/>
        <c:noMultiLvlLbl val="0"/>
      </c:catAx>
      <c:valAx>
        <c:axId val="58436765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843670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2273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0</xdr:row>
      <xdr:rowOff>0</xdr:rowOff>
    </xdr:from>
    <xdr:to>
      <xdr:col>13</xdr:col>
      <xdr:colOff>304800</xdr:colOff>
      <xdr:row>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54428</xdr:colOff>
      <xdr:row>1</xdr:row>
      <xdr:rowOff>342900</xdr:rowOff>
    </xdr:from>
    <xdr:to>
      <xdr:col>3</xdr:col>
      <xdr:colOff>21771</xdr:colOff>
      <xdr:row>4</xdr:row>
      <xdr:rowOff>48251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046D78-65A7-4B8F-B9B4-332F9D7ACB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68" r="71045"/>
        <a:stretch/>
      </xdr:blipFill>
      <xdr:spPr>
        <a:xfrm>
          <a:off x="2231571" y="517071"/>
          <a:ext cx="914400" cy="1294666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</xdr:row>
      <xdr:rowOff>81915</xdr:rowOff>
    </xdr:from>
    <xdr:to>
      <xdr:col>0</xdr:col>
      <xdr:colOff>2083594</xdr:colOff>
      <xdr:row>13</xdr:row>
      <xdr:rowOff>166686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419C1E8-108A-433B-B2FA-811FA5E04F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2193744"/>
              <a:ext cx="1931194" cy="13039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190500</xdr:colOff>
      <xdr:row>4</xdr:row>
      <xdr:rowOff>125866</xdr:rowOff>
    </xdr:from>
    <xdr:to>
      <xdr:col>12</xdr:col>
      <xdr:colOff>238125</xdr:colOff>
      <xdr:row>16</xdr:row>
      <xdr:rowOff>157163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262CAE5D-5EBB-4CF3-8D4B-38663F32BB67}"/>
            </a:ext>
          </a:extLst>
        </xdr:cNvPr>
        <xdr:cNvGrpSpPr/>
      </xdr:nvGrpSpPr>
      <xdr:grpSpPr>
        <a:xfrm>
          <a:off x="2367643" y="1889352"/>
          <a:ext cx="6894739" cy="2121354"/>
          <a:chOff x="2371725" y="1714500"/>
          <a:chExt cx="6829425" cy="208597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9FDE774-B28F-4E43-BFDE-491181E134B3}"/>
              </a:ext>
            </a:extLst>
          </xdr:cNvPr>
          <xdr:cNvSpPr/>
        </xdr:nvSpPr>
        <xdr:spPr>
          <a:xfrm>
            <a:off x="2371725" y="1714500"/>
            <a:ext cx="6829425" cy="20859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18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9CD865B7-2EBB-4E23-BBDF-A5EB11451DF6}"/>
              </a:ext>
            </a:extLst>
          </xdr:cNvPr>
          <xdr:cNvSpPr/>
        </xdr:nvSpPr>
        <xdr:spPr>
          <a:xfrm>
            <a:off x="5105401" y="2057400"/>
            <a:ext cx="3448050" cy="1343025"/>
          </a:xfrm>
          <a:prstGeom prst="roundRect">
            <a:avLst/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2D8FAD1-ADE2-4843-8985-1929D62BC306}" type="TxLink">
              <a:rPr lang="en-US" sz="4400" b="0" i="0" u="none" strike="noStrike">
                <a:solidFill>
                  <a:srgbClr val="00B451"/>
                </a:solidFill>
                <a:latin typeface="Aptos Narrow"/>
              </a:rPr>
              <a:pPr algn="ctr"/>
              <a:t>R$ 1.350,00</a:t>
            </a:fld>
            <a:endParaRPr lang="pt-BR" sz="4400">
              <a:solidFill>
                <a:srgbClr val="00B451"/>
              </a:solidFill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BF1D4397-4C26-4E45-A494-89B193E44F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9400" y="2168842"/>
            <a:ext cx="1341120" cy="1120140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13F9B8D5-EF6B-4DE4-8C3E-0EDCCE5E1B19}"/>
              </a:ext>
            </a:extLst>
          </xdr:cNvPr>
          <xdr:cNvSpPr/>
        </xdr:nvSpPr>
        <xdr:spPr>
          <a:xfrm>
            <a:off x="2381250" y="1714500"/>
            <a:ext cx="6781800" cy="428625"/>
          </a:xfrm>
          <a:prstGeom prst="round2SameRect">
            <a:avLst>
              <a:gd name="adj1" fmla="val 16667"/>
              <a:gd name="adj2" fmla="val 18421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L SUBSCRIPITIONS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542925</xdr:colOff>
      <xdr:row>4</xdr:row>
      <xdr:rowOff>125866</xdr:rowOff>
    </xdr:from>
    <xdr:to>
      <xdr:col>23</xdr:col>
      <xdr:colOff>38100</xdr:colOff>
      <xdr:row>16</xdr:row>
      <xdr:rowOff>157163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4D43ECA-441A-4048-9719-AA7A00ADA24A}"/>
            </a:ext>
          </a:extLst>
        </xdr:cNvPr>
        <xdr:cNvGrpSpPr/>
      </xdr:nvGrpSpPr>
      <xdr:grpSpPr>
        <a:xfrm>
          <a:off x="9567182" y="1889352"/>
          <a:ext cx="6919232" cy="2121354"/>
          <a:chOff x="9505950" y="1743075"/>
          <a:chExt cx="6829425" cy="2085975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64AA7805-4F8A-4D22-9DED-46D76523AF86}"/>
              </a:ext>
            </a:extLst>
          </xdr:cNvPr>
          <xdr:cNvGrpSpPr/>
        </xdr:nvGrpSpPr>
        <xdr:grpSpPr>
          <a:xfrm>
            <a:off x="9505950" y="1743075"/>
            <a:ext cx="6829425" cy="2085975"/>
            <a:chOff x="2371725" y="1714500"/>
            <a:chExt cx="6829425" cy="2085975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3210821F-B299-4E52-AC62-90FB67DEDCD1}"/>
                </a:ext>
              </a:extLst>
            </xdr:cNvPr>
            <xdr:cNvSpPr/>
          </xdr:nvSpPr>
          <xdr:spPr>
            <a:xfrm>
              <a:off x="2371725" y="1714500"/>
              <a:ext cx="6829425" cy="20859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29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70B068ED-E57E-401F-99C0-217C906F5138}"/>
                </a:ext>
              </a:extLst>
            </xdr:cNvPr>
            <xdr:cNvSpPr/>
          </xdr:nvSpPr>
          <xdr:spPr>
            <a:xfrm>
              <a:off x="5105401" y="2057400"/>
              <a:ext cx="3448050" cy="1343025"/>
            </a:xfrm>
            <a:prstGeom prst="roundRect">
              <a:avLst/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F8F7DD4-253F-4387-835B-4CDBBFFA5D8C}" type="TxLink">
                <a:rPr lang="en-US" sz="4400" b="0" i="0" u="none" strike="noStrike">
                  <a:solidFill>
                    <a:srgbClr val="22C55E"/>
                  </a:solidFill>
                  <a:latin typeface="Aptos Narrow"/>
                </a:rPr>
                <a:t>R$ 1.800,00</a:t>
              </a:fld>
              <a:endParaRPr lang="pt-BR" sz="44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8A390E46-959A-47D1-89A3-FFA44EC941D2}"/>
                </a:ext>
              </a:extLst>
            </xdr:cNvPr>
            <xdr:cNvSpPr/>
          </xdr:nvSpPr>
          <xdr:spPr>
            <a:xfrm>
              <a:off x="2381250" y="1714500"/>
              <a:ext cx="6781800" cy="428625"/>
            </a:xfrm>
            <a:prstGeom prst="round2SameRect">
              <a:avLst>
                <a:gd name="adj1" fmla="val 16667"/>
                <a:gd name="adj2" fmla="val 18421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L SUBSCRIPITIONS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6175018D-FD8E-4991-B18F-D65E318BB46F}"/>
              </a:ext>
            </a:extLst>
          </xdr:cNvPr>
          <xdr:cNvGrpSpPr/>
        </xdr:nvGrpSpPr>
        <xdr:grpSpPr>
          <a:xfrm>
            <a:off x="10096500" y="2390775"/>
            <a:ext cx="1732356" cy="691516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AA731986-0A62-460A-B6EC-5750F06EC3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9FA4F21D-B658-43E8-83F1-BC55169A35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164861</xdr:colOff>
      <xdr:row>18</xdr:row>
      <xdr:rowOff>133349</xdr:rowOff>
    </xdr:from>
    <xdr:to>
      <xdr:col>23</xdr:col>
      <xdr:colOff>47625</xdr:colOff>
      <xdr:row>37</xdr:row>
      <xdr:rowOff>22178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9FA03BB5-5131-4E19-99BB-FDC9DEDC89C1}"/>
            </a:ext>
          </a:extLst>
        </xdr:cNvPr>
        <xdr:cNvGrpSpPr/>
      </xdr:nvGrpSpPr>
      <xdr:grpSpPr>
        <a:xfrm>
          <a:off x="2342004" y="4335235"/>
          <a:ext cx="14153935" cy="3198086"/>
          <a:chOff x="2346086" y="4286249"/>
          <a:chExt cx="13998814" cy="3146379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E8D5E40E-0441-428A-BA3D-DDA8F550581F}"/>
              </a:ext>
            </a:extLst>
          </xdr:cNvPr>
          <xdr:cNvGrpSpPr/>
        </xdr:nvGrpSpPr>
        <xdr:grpSpPr>
          <a:xfrm>
            <a:off x="2346086" y="4286249"/>
            <a:ext cx="13998814" cy="3146379"/>
            <a:chOff x="2255708" y="1663065"/>
            <a:chExt cx="4858038" cy="3061624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687CEE50-B7CD-4076-8EEF-9FA10CD59654}"/>
                </a:ext>
              </a:extLst>
            </xdr:cNvPr>
            <xdr:cNvSpPr/>
          </xdr:nvSpPr>
          <xdr:spPr>
            <a:xfrm>
              <a:off x="2271712" y="1663065"/>
              <a:ext cx="4842034" cy="2924651"/>
            </a:xfrm>
            <a:prstGeom prst="roundRect">
              <a:avLst>
                <a:gd name="adj" fmla="val 768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A36BDB8-7771-48BA-A4E3-338411BED593}"/>
                </a:ext>
              </a:extLst>
            </xdr:cNvPr>
            <xdr:cNvGraphicFramePr>
              <a:graphicFrameLocks/>
            </xdr:cNvGraphicFramePr>
          </xdr:nvGraphicFramePr>
          <xdr:xfrm>
            <a:off x="2255708" y="2057689"/>
            <a:ext cx="4572000" cy="2667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FD034168-60D3-4538-8DD2-0024487EA80B}"/>
              </a:ext>
            </a:extLst>
          </xdr:cNvPr>
          <xdr:cNvSpPr/>
        </xdr:nvSpPr>
        <xdr:spPr>
          <a:xfrm>
            <a:off x="2392203" y="4286249"/>
            <a:ext cx="13886022" cy="428625"/>
          </a:xfrm>
          <a:prstGeom prst="round2SameRect">
            <a:avLst>
              <a:gd name="adj1" fmla="val 16667"/>
              <a:gd name="adj2" fmla="val 18421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L SUBSCRIPITIONS XBOX GAME PASS</a:t>
            </a:r>
          </a:p>
        </xdr:txBody>
      </xdr:sp>
    </xdr:grpSp>
    <xdr:clientData/>
  </xdr:twoCellAnchor>
  <xdr:twoCellAnchor editAs="absolute">
    <xdr:from>
      <xdr:col>0</xdr:col>
      <xdr:colOff>228600</xdr:colOff>
      <xdr:row>1</xdr:row>
      <xdr:rowOff>217714</xdr:rowOff>
    </xdr:from>
    <xdr:to>
      <xdr:col>0</xdr:col>
      <xdr:colOff>984885</xdr:colOff>
      <xdr:row>1</xdr:row>
      <xdr:rowOff>911134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96F74FB1-2EBB-4B0A-95E2-A51BB9BB3CBD}"/>
            </a:ext>
          </a:extLst>
        </xdr:cNvPr>
        <xdr:cNvSpPr/>
      </xdr:nvSpPr>
      <xdr:spPr>
        <a:xfrm>
          <a:off x="228600" y="391885"/>
          <a:ext cx="756285" cy="69342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250371</xdr:colOff>
      <xdr:row>2</xdr:row>
      <xdr:rowOff>108857</xdr:rowOff>
    </xdr:from>
    <xdr:to>
      <xdr:col>0</xdr:col>
      <xdr:colOff>1905000</xdr:colOff>
      <xdr:row>5</xdr:row>
      <xdr:rowOff>0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626A0D14-39E9-4E03-B219-F53347F9CA52}"/>
            </a:ext>
          </a:extLst>
        </xdr:cNvPr>
        <xdr:cNvSpPr/>
      </xdr:nvSpPr>
      <xdr:spPr>
        <a:xfrm>
          <a:off x="250371" y="1371600"/>
          <a:ext cx="1654629" cy="56605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/>
            <a:t>&gt; Bem Vinda,</a:t>
          </a:r>
          <a:r>
            <a:rPr lang="pt-BR" sz="1200" baseline="0"/>
            <a:t> Eliana</a:t>
          </a:r>
          <a:endParaRPr lang="pt-BR" sz="1200"/>
        </a:p>
      </xdr:txBody>
    </xdr:sp>
    <xdr:clientData/>
  </xdr:twoCellAnchor>
  <xdr:twoCellAnchor editAs="absolute">
    <xdr:from>
      <xdr:col>2</xdr:col>
      <xdr:colOff>110432</xdr:colOff>
      <xdr:row>2</xdr:row>
      <xdr:rowOff>318406</xdr:rowOff>
    </xdr:from>
    <xdr:to>
      <xdr:col>15</xdr:col>
      <xdr:colOff>457199</xdr:colOff>
      <xdr:row>6</xdr:row>
      <xdr:rowOff>35377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2E65B65A-4C13-45B3-9E27-9C5CD40D1715}"/>
            </a:ext>
          </a:extLst>
        </xdr:cNvPr>
        <xdr:cNvSpPr/>
      </xdr:nvSpPr>
      <xdr:spPr>
        <a:xfrm>
          <a:off x="2559718" y="1581149"/>
          <a:ext cx="8946481" cy="56605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aseline="0">
              <a:solidFill>
                <a:schemeClr val="bg1">
                  <a:lumMod val="65000"/>
                </a:schemeClr>
              </a:solidFill>
            </a:rPr>
            <a:t>Calculation period: 01/01/2024 - 31/12/2024 I Update date 12/10/2026 14:00:00</a:t>
          </a:r>
          <a:endParaRPr lang="pt-BR" sz="105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da Melo de Sousa" refreshedDate="46307.566915277777" createdVersion="6" refreshedVersion="6" minRefreshableVersion="3" recordCount="295" xr:uid="{24F49B20-BEFC-45E6-AEC2-6085EF1E5B8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670127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2FB8A-8FCC-4A7F-A8A2-05AB858F1381}" name="Tabela dinâmica7" cacheId="3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23:C2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9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CF492-541E-4ACE-8FE7-98B9D6386EE3}" name="tbl_easeasonpass_total" cacheId="3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12:C1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08280-BC34-4E97-BF36-0AAB6A45C7D4}" name="tbl_annual_total" cacheId="3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5:C8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BC72227-3037-4D02-B779-D722B096B9FA}" sourceName="Subscription Type">
  <pivotTables>
    <pivotTable tabId="3" name="tbl_annual_total"/>
    <pivotTable tabId="3" name="tbl_easeasonpass_total"/>
    <pivotTable tabId="3" name="Tabela dinâmica7"/>
  </pivotTables>
  <data>
    <tabular pivotCacheId="567012733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89BCCC6-0299-449A-9358-D883EB24F964}" cache="SegmentaçãodeDados_Subscription_Type" caption="Subscription Type" style="SlicerStyleLight3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7">
  <autoFilter ref="A1:M296" xr:uid="{34E0E886-4200-4B36-97B3-63DB74FF40A0}">
    <filterColumn colId="2">
      <filters>
        <filter val="Ultimate"/>
      </filters>
    </filterColumn>
  </autoFilter>
  <tableColumns count="13">
    <tableColumn id="1" xr3:uid="{C4A90516-688A-46BF-9167-EA16C2A8A652}" name="Subscriber ID" dataDxfId="26"/>
    <tableColumn id="2" xr3:uid="{53DD39D0-2220-4121-9E9D-4EAA7E151C0F}" name="Name" dataDxfId="25"/>
    <tableColumn id="3" xr3:uid="{4F5FF271-4C57-4BE0-8F2C-F82C8551625C}" name="Plan" dataDxfId="24"/>
    <tableColumn id="4" xr3:uid="{8C17EB93-79B9-4E55-B8F7-BEB82F8253E9}" name="Start Date" dataDxfId="23"/>
    <tableColumn id="5" xr3:uid="{48CEDF9B-1689-482A-A828-5CCE7713264A}" name="Auto Renewal" dataDxfId="22"/>
    <tableColumn id="6" xr3:uid="{78B82374-9AA7-4E38-AE4F-78CDE6C83720}" name="Subscription Price" dataDxfId="21" dataCellStyle="Moeda"/>
    <tableColumn id="7" xr3:uid="{F2433F68-AF33-49D0-B1FB-19A396074EDE}" name="Subscription Type" dataDxfId="20"/>
    <tableColumn id="8" xr3:uid="{FD4D9C95-F6E5-4933-9068-A71FF7DF9343}" name="EA Play Season Pass" dataDxfId="19"/>
    <tableColumn id="13" xr3:uid="{978DD0D2-834E-4CE4-A39B-30976086932F}" name="EA Play Season Pass_x000a_Price" dataDxfId="18" dataCellStyle="Moeda"/>
    <tableColumn id="9" xr3:uid="{6E29F111-C395-4580-9DAD-3407D9E8B1A4}" name="Minecraft Season Pass" dataDxfId="17"/>
    <tableColumn id="10" xr3:uid="{EF544EAA-7F25-4FD5-A10E-8E62804DB9E3}" name="Minecraft Season Pass Price" dataDxfId="16" dataCellStyle="Moeda"/>
    <tableColumn id="11" xr3:uid="{7F6EB64A-1F07-4E48-9F0F-AC7D9DCD26F8}" name="Coupon Value" dataDxfId="15" dataCellStyle="Moeda"/>
    <tableColumn id="12" xr3:uid="{2B04ABC8-DE6F-426E-ADC0-D8AFC68CA58E}" name="Total Value" dataDxfId="1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B7" sqref="B7"/>
    </sheetView>
  </sheetViews>
  <sheetFormatPr defaultRowHeight="13.8"/>
  <cols>
    <col min="9" max="9" width="3.59765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 ht="15">
      <c r="B5" s="3" t="s">
        <v>2</v>
      </c>
      <c r="C5" t="s">
        <v>8</v>
      </c>
      <c r="E5" s="7" t="s">
        <v>6</v>
      </c>
      <c r="F5" t="s">
        <v>7</v>
      </c>
    </row>
    <row r="6" spans="2:16" ht="15">
      <c r="B6" s="4" t="s">
        <v>3</v>
      </c>
      <c r="C6" t="s">
        <v>8</v>
      </c>
    </row>
    <row r="7" spans="2:16" ht="15">
      <c r="B7" s="5" t="s">
        <v>4</v>
      </c>
      <c r="C7" t="s">
        <v>9</v>
      </c>
    </row>
    <row r="8" spans="2:16" ht="15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 ht="15">
      <c r="B14" s="2"/>
      <c r="C14" s="2"/>
      <c r="D14" s="2"/>
      <c r="E14" s="2"/>
      <c r="F14" s="2"/>
      <c r="G14" s="2"/>
      <c r="H14" s="2"/>
    </row>
    <row r="15" spans="2:16" ht="15">
      <c r="B15" s="2"/>
      <c r="C15" s="2"/>
      <c r="D15" s="2"/>
      <c r="E15" s="2"/>
      <c r="F15" s="2"/>
      <c r="G15" s="2"/>
      <c r="H15" s="2"/>
    </row>
    <row r="16" spans="2:16" ht="15">
      <c r="B16" s="2"/>
      <c r="C16" s="2"/>
      <c r="D16" s="2"/>
      <c r="E16" s="2"/>
      <c r="F16" s="2"/>
      <c r="G16" s="2"/>
      <c r="H16" s="2"/>
    </row>
    <row r="17" spans="2:8" ht="15">
      <c r="B17" s="2"/>
      <c r="C17" s="2"/>
      <c r="D17" s="2"/>
      <c r="E17" s="2"/>
      <c r="F17" s="2"/>
      <c r="G17" s="2"/>
      <c r="H17" s="2"/>
    </row>
    <row r="18" spans="2:8" ht="15">
      <c r="B18" s="2"/>
      <c r="C18" s="2"/>
      <c r="D18" s="2"/>
      <c r="E18" s="2"/>
      <c r="F18" s="2"/>
      <c r="G18" s="2"/>
      <c r="H18" s="2"/>
    </row>
    <row r="19" spans="2:8" ht="15">
      <c r="B19" s="2"/>
      <c r="C19" s="2"/>
      <c r="D19" s="2"/>
      <c r="E19" s="2"/>
      <c r="F19" s="2"/>
      <c r="G19" s="2"/>
      <c r="H19" s="2"/>
    </row>
    <row r="20" spans="2:8" ht="15">
      <c r="B20" s="2"/>
      <c r="C20" s="2"/>
      <c r="D20" s="2"/>
      <c r="E20" s="2"/>
      <c r="F20" s="2"/>
      <c r="G20" s="2"/>
      <c r="H20" s="2"/>
    </row>
    <row r="21" spans="2:8" ht="1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1" zoomScale="90" zoomScaleNormal="90" workbookViewId="0">
      <selection activeCell="B7" sqref="B7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0"/>
  <sheetViews>
    <sheetView showGridLines="0" workbookViewId="0">
      <selection activeCell="B7" sqref="B7"/>
    </sheetView>
  </sheetViews>
  <sheetFormatPr defaultRowHeight="13.8"/>
  <cols>
    <col min="2" max="2" width="17.69921875" bestFit="1" customWidth="1"/>
    <col min="3" max="3" width="34.5" style="16" bestFit="1" customWidth="1"/>
    <col min="4" max="4" width="19.09765625" bestFit="1" customWidth="1"/>
    <col min="5" max="5" width="9.09765625" bestFit="1" customWidth="1"/>
    <col min="6" max="6" width="10.3984375" bestFit="1" customWidth="1"/>
  </cols>
  <sheetData>
    <row r="3" spans="2:6">
      <c r="B3" s="12" t="s">
        <v>16</v>
      </c>
      <c r="C3" t="s">
        <v>20</v>
      </c>
    </row>
    <row r="5" spans="2:6">
      <c r="B5" s="12" t="s">
        <v>313</v>
      </c>
      <c r="C5" s="16" t="s">
        <v>315</v>
      </c>
    </row>
    <row r="6" spans="2:6">
      <c r="B6" s="13" t="s">
        <v>23</v>
      </c>
      <c r="C6" s="16">
        <v>2824</v>
      </c>
    </row>
    <row r="7" spans="2:6">
      <c r="B7" s="13" t="s">
        <v>19</v>
      </c>
      <c r="C7" s="16">
        <v>747</v>
      </c>
    </row>
    <row r="8" spans="2:6">
      <c r="B8" s="13" t="s">
        <v>314</v>
      </c>
      <c r="C8" s="16">
        <v>3571</v>
      </c>
    </row>
    <row r="9" spans="2:6">
      <c r="C9"/>
    </row>
    <row r="10" spans="2:6">
      <c r="B10" s="12" t="s">
        <v>16</v>
      </c>
      <c r="C10" t="s">
        <v>20</v>
      </c>
    </row>
    <row r="11" spans="2:6">
      <c r="C11"/>
    </row>
    <row r="12" spans="2:6">
      <c r="B12" s="12" t="s">
        <v>313</v>
      </c>
      <c r="C12" t="s">
        <v>316</v>
      </c>
    </row>
    <row r="13" spans="2:6">
      <c r="B13" s="13" t="s">
        <v>22</v>
      </c>
      <c r="C13" s="14">
        <v>0</v>
      </c>
      <c r="E13" s="12"/>
      <c r="F13" s="12"/>
    </row>
    <row r="14" spans="2:6">
      <c r="B14" s="13" t="s">
        <v>26</v>
      </c>
      <c r="C14" s="14">
        <v>0</v>
      </c>
    </row>
    <row r="15" spans="2:6">
      <c r="B15" s="13" t="s">
        <v>18</v>
      </c>
      <c r="C15" s="14">
        <v>1350</v>
      </c>
      <c r="E15" s="12"/>
      <c r="F15" s="12"/>
    </row>
    <row r="16" spans="2:6">
      <c r="B16" s="13" t="s">
        <v>314</v>
      </c>
      <c r="C16" s="14">
        <v>1350</v>
      </c>
    </row>
    <row r="17" spans="2:4">
      <c r="C17"/>
    </row>
    <row r="18" spans="2:4">
      <c r="C18" s="15">
        <f>GETPIVOTDATA("EA Play Season Pass
Price",$B$12)</f>
        <v>1350</v>
      </c>
    </row>
    <row r="19" spans="2:4">
      <c r="C19"/>
    </row>
    <row r="20" spans="2:4">
      <c r="C20"/>
    </row>
    <row r="21" spans="2:4">
      <c r="B21" s="12" t="s">
        <v>16</v>
      </c>
      <c r="C21" t="s">
        <v>20</v>
      </c>
    </row>
    <row r="22" spans="2:4">
      <c r="C22"/>
    </row>
    <row r="23" spans="2:4">
      <c r="B23" s="12" t="s">
        <v>313</v>
      </c>
      <c r="C23" t="s">
        <v>317</v>
      </c>
      <c r="D23" s="12"/>
    </row>
    <row r="24" spans="2:4">
      <c r="B24" s="13" t="s">
        <v>22</v>
      </c>
      <c r="C24" s="16">
        <v>0</v>
      </c>
    </row>
    <row r="25" spans="2:4">
      <c r="B25" s="13" t="s">
        <v>26</v>
      </c>
      <c r="C25" s="16">
        <v>900</v>
      </c>
    </row>
    <row r="26" spans="2:4">
      <c r="B26" s="13" t="s">
        <v>18</v>
      </c>
      <c r="C26" s="16">
        <v>900</v>
      </c>
    </row>
    <row r="27" spans="2:4">
      <c r="B27" s="13" t="s">
        <v>314</v>
      </c>
      <c r="C27" s="14">
        <v>1800</v>
      </c>
    </row>
    <row r="28" spans="2:4">
      <c r="C28"/>
    </row>
    <row r="29" spans="2:4">
      <c r="C29" s="15">
        <f>GETPIVOTDATA("Minecraft Season Pass Price",$B$23)</f>
        <v>1800</v>
      </c>
    </row>
    <row r="30" spans="2:4">
      <c r="C30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W71"/>
  <sheetViews>
    <sheetView showGridLines="0" tabSelected="1" zoomScale="70" zoomScaleNormal="70" workbookViewId="0">
      <selection activeCell="V2" sqref="V2"/>
    </sheetView>
  </sheetViews>
  <sheetFormatPr defaultRowHeight="13.8"/>
  <cols>
    <col min="1" max="1" width="28.59765625" style="4" customWidth="1"/>
    <col min="2" max="2" width="3.59765625" customWidth="1"/>
    <col min="12" max="12" width="6.59765625" customWidth="1"/>
  </cols>
  <sheetData>
    <row r="2" spans="1:23" ht="85.8" customHeight="1" thickBot="1">
      <c r="C2" s="17" t="s">
        <v>318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8"/>
      <c r="T2" s="18"/>
      <c r="U2" s="18"/>
      <c r="V2" s="18"/>
      <c r="W2" s="18"/>
    </row>
    <row r="3" spans="1:23" ht="25.8" customHeight="1"/>
    <row r="4" spans="1:23" s="7" customFormat="1">
      <c r="A4" s="4"/>
    </row>
    <row r="5" spans="1:23" s="7" customFormat="1">
      <c r="A5" s="4"/>
    </row>
    <row r="6" spans="1:23" s="7" customFormat="1">
      <c r="A6" s="4"/>
    </row>
    <row r="7" spans="1:23" s="7" customFormat="1">
      <c r="A7" s="4"/>
    </row>
    <row r="8" spans="1:23" s="7" customFormat="1">
      <c r="A8" s="4"/>
    </row>
    <row r="9" spans="1:23" s="7" customFormat="1">
      <c r="A9" s="4"/>
    </row>
    <row r="10" spans="1:23" s="7" customFormat="1">
      <c r="A10" s="4"/>
    </row>
    <row r="11" spans="1:23" s="7" customFormat="1">
      <c r="A11" s="4"/>
    </row>
    <row r="12" spans="1:23" s="7" customFormat="1">
      <c r="A12" s="4"/>
    </row>
    <row r="13" spans="1:23" s="7" customFormat="1">
      <c r="A13" s="4"/>
    </row>
    <row r="14" spans="1:23" s="7" customFormat="1">
      <c r="A14" s="4"/>
    </row>
    <row r="15" spans="1:23" s="7" customFormat="1">
      <c r="A15" s="4"/>
    </row>
    <row r="16" spans="1:23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purl.org/dc/dcmitype/"/>
    <ds:schemaRef ds:uri="http://schemas.microsoft.com/office/infopath/2007/PartnerControls"/>
    <ds:schemaRef ds:uri="851b35d3-0456-4d6a-bc2f-da927e91d158"/>
    <ds:schemaRef ds:uri="http://purl.org/dc/elements/1.1/"/>
    <ds:schemaRef ds:uri="http://schemas.microsoft.com/office/2006/metadata/properties"/>
    <ds:schemaRef ds:uri="19483571-f922-4e8e-9c1c-26f0a2252132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Amanda Melo de Sousa</cp:lastModifiedBy>
  <dcterms:created xsi:type="dcterms:W3CDTF">2024-12-19T13:13:10Z</dcterms:created>
  <dcterms:modified xsi:type="dcterms:W3CDTF">2026-10-12T17:12:19Z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